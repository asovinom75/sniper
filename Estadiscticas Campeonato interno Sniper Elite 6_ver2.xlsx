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8_{A889728C-F56B-7C41-8A49-F443FEF953A0}" xr6:coauthVersionLast="47" xr6:coauthVersionMax="47" xr10:uidLastSave="{00000000-0000-0000-0000-000000000000}"/>
  <bookViews>
    <workbookView xWindow="0" yWindow="680" windowWidth="30240" windowHeight="18960" activeTab="2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9" i="10" l="1"/>
  <c r="F98" i="10"/>
  <c r="F97" i="10"/>
  <c r="F96" i="10"/>
  <c r="F95" i="10"/>
  <c r="F94" i="10"/>
  <c r="F93" i="10"/>
  <c r="F92" i="10"/>
  <c r="F99" i="9"/>
  <c r="F98" i="9"/>
  <c r="F97" i="9"/>
  <c r="F96" i="9"/>
  <c r="F95" i="9"/>
  <c r="F94" i="9"/>
  <c r="F93" i="9"/>
  <c r="F92" i="9"/>
  <c r="F100" i="8"/>
  <c r="F99" i="8"/>
  <c r="F98" i="8"/>
  <c r="F97" i="8"/>
  <c r="F96" i="8"/>
  <c r="F95" i="8"/>
  <c r="F94" i="8"/>
  <c r="F93" i="8"/>
  <c r="F99" i="7"/>
  <c r="F98" i="7"/>
  <c r="F97" i="7"/>
  <c r="F96" i="7"/>
  <c r="F95" i="7"/>
  <c r="F94" i="7"/>
  <c r="F93" i="7"/>
  <c r="F92" i="7"/>
  <c r="F100" i="6"/>
  <c r="F99" i="6"/>
  <c r="F98" i="6"/>
  <c r="F97" i="6"/>
  <c r="F96" i="6"/>
  <c r="F95" i="6"/>
  <c r="F94" i="6"/>
  <c r="F93" i="6"/>
  <c r="F97" i="5"/>
  <c r="F96" i="5"/>
  <c r="F95" i="5"/>
  <c r="F94" i="5"/>
  <c r="F93" i="5"/>
  <c r="F92" i="5"/>
  <c r="F91" i="5"/>
  <c r="F90" i="5"/>
  <c r="F82" i="5"/>
  <c r="F84" i="10"/>
  <c r="F89" i="5"/>
  <c r="F88" i="5"/>
  <c r="F87" i="5"/>
  <c r="F86" i="5"/>
  <c r="F85" i="5"/>
  <c r="F84" i="5"/>
  <c r="F83" i="5"/>
  <c r="F92" i="6"/>
  <c r="F91" i="6"/>
  <c r="F90" i="6"/>
  <c r="F89" i="6"/>
  <c r="F88" i="6"/>
  <c r="F87" i="6"/>
  <c r="F86" i="6"/>
  <c r="F91" i="7"/>
  <c r="F90" i="7"/>
  <c r="F89" i="7"/>
  <c r="F88" i="7"/>
  <c r="F87" i="7"/>
  <c r="F86" i="7"/>
  <c r="F85" i="7"/>
  <c r="F92" i="8"/>
  <c r="F91" i="8"/>
  <c r="F90" i="8"/>
  <c r="F89" i="8"/>
  <c r="F88" i="8"/>
  <c r="F87" i="8"/>
  <c r="F86" i="8"/>
  <c r="F91" i="9"/>
  <c r="F90" i="9"/>
  <c r="F89" i="9"/>
  <c r="F88" i="9"/>
  <c r="F87" i="9"/>
  <c r="F86" i="9"/>
  <c r="F85" i="9"/>
  <c r="F86" i="10"/>
  <c r="F87" i="10"/>
  <c r="F88" i="10"/>
  <c r="F89" i="10"/>
  <c r="F90" i="10"/>
  <c r="F91" i="10"/>
  <c r="F85" i="10"/>
  <c r="F83" i="10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30" i="4"/>
  <c r="AF30" i="4"/>
  <c r="AE31" i="4"/>
  <c r="AF31" i="4"/>
  <c r="AE32" i="4"/>
  <c r="AF32" i="4"/>
  <c r="AE33" i="4"/>
  <c r="AF33" i="4"/>
  <c r="AE34" i="4"/>
  <c r="AF34" i="4"/>
  <c r="AE35" i="4"/>
  <c r="AF35" i="4"/>
  <c r="AE36" i="4"/>
  <c r="AF36" i="4"/>
  <c r="AE37" i="4"/>
  <c r="AF37" i="4"/>
  <c r="AE38" i="4"/>
  <c r="AF38" i="4"/>
  <c r="AE39" i="4"/>
  <c r="AF39" i="4"/>
  <c r="AF29" i="4"/>
  <c r="AE29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C32" i="4"/>
  <c r="AC30" i="4"/>
  <c r="AC33" i="4"/>
  <c r="AC35" i="4"/>
  <c r="AC37" i="4"/>
  <c r="AC34" i="4"/>
  <c r="AC36" i="4"/>
  <c r="AC38" i="4"/>
  <c r="AC39" i="4"/>
  <c r="AC31" i="4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H33" i="4"/>
  <c r="H35" i="4"/>
  <c r="H37" i="4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A15" i="3" l="1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<sst xmlns="http://schemas.openxmlformats.org/spreadsheetml/2006/main" count="904" uniqueCount="65">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</sst>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3" xfId="0" applyBorder="1" applyAlignment="1">
      <alignment horizont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97"/>
  <sheetViews>
    <sheetView showGridLines="0" topLeftCell="A66" workbookViewId="0">
      <selection activeCell="D98" sqref="D98"/>
    </sheetView>
  </sheetViews>
  <sheetFormatPr baseColWidth="10" defaultRowHeight="16" x14ac:dyDescent="0.2"/>
  <cols>
    <col min="1" max="1" width="7" customWidth="1"/>
    <col min="2" max="2" width="9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1735</v>
      </c>
      <c r="D77" s="3">
        <v>26</v>
      </c>
      <c r="E77" s="3">
        <v>14</v>
      </c>
      <c r="F77" s="13">
        <f t="shared" ref="F77:F89" si="7">IF(E77=0,0,(D77/E77))</f>
        <v>1.8571428571428572</v>
      </c>
      <c r="G77" s="3"/>
    </row>
    <row r="78" spans="1:7" x14ac:dyDescent="0.2">
      <c r="A78" s="3">
        <v>10</v>
      </c>
      <c r="B78" s="3" t="s">
        <v>63</v>
      </c>
      <c r="C78" s="16">
        <v>795</v>
      </c>
      <c r="D78" s="3">
        <v>14</v>
      </c>
      <c r="E78" s="3">
        <v>11</v>
      </c>
      <c r="F78" s="13">
        <f t="shared" si="7"/>
        <v>1.2727272727272727</v>
      </c>
      <c r="G78" s="3"/>
    </row>
    <row r="79" spans="1:7" x14ac:dyDescent="0.2">
      <c r="A79" s="3">
        <v>10</v>
      </c>
      <c r="B79" s="3" t="s">
        <v>5</v>
      </c>
      <c r="C79" s="16">
        <v>540</v>
      </c>
      <c r="D79" s="3">
        <v>10</v>
      </c>
      <c r="E79" s="3">
        <v>8</v>
      </c>
      <c r="F79" s="13">
        <f t="shared" si="7"/>
        <v>1.25</v>
      </c>
      <c r="G79" s="3"/>
    </row>
    <row r="80" spans="1:7" x14ac:dyDescent="0.2">
      <c r="A80" s="3">
        <v>10</v>
      </c>
      <c r="B80" s="3" t="s">
        <v>7</v>
      </c>
      <c r="C80" s="16">
        <v>445</v>
      </c>
      <c r="D80" s="3">
        <v>13</v>
      </c>
      <c r="E80" s="3">
        <v>17</v>
      </c>
      <c r="F80" s="13">
        <f t="shared" si="7"/>
        <v>0.76470588235294112</v>
      </c>
      <c r="G80" s="3"/>
    </row>
    <row r="81" spans="1:7" x14ac:dyDescent="0.2">
      <c r="A81" s="3">
        <v>10</v>
      </c>
      <c r="B81" s="3" t="s">
        <v>6</v>
      </c>
      <c r="C81" s="16">
        <v>465</v>
      </c>
      <c r="D81" s="3">
        <v>10</v>
      </c>
      <c r="E81" s="3">
        <v>13</v>
      </c>
      <c r="F81" s="13">
        <f t="shared" si="7"/>
        <v>0.76923076923076927</v>
      </c>
      <c r="G81" s="3"/>
    </row>
    <row r="82" spans="1:7" x14ac:dyDescent="0.2">
      <c r="A82" s="3">
        <v>10</v>
      </c>
      <c r="B82" s="3" t="s">
        <v>8</v>
      </c>
      <c r="C82" s="16">
        <v>0</v>
      </c>
      <c r="D82" s="3">
        <v>10</v>
      </c>
      <c r="E82" s="3">
        <v>21</v>
      </c>
      <c r="F82" s="13">
        <f t="shared" ref="F82" si="8">IF(E82=0,0,(D82/E82))</f>
        <v>0.47619047619047616</v>
      </c>
      <c r="G82" s="3"/>
    </row>
    <row r="83" spans="1:7" x14ac:dyDescent="0.2">
      <c r="A83" s="3">
        <v>11</v>
      </c>
      <c r="B83" s="3" t="s">
        <v>4</v>
      </c>
      <c r="C83" s="16">
        <v>1185</v>
      </c>
      <c r="D83" s="3">
        <v>22</v>
      </c>
      <c r="E83" s="3">
        <v>11</v>
      </c>
      <c r="F83" s="13">
        <f t="shared" si="7"/>
        <v>2</v>
      </c>
      <c r="G83" s="3"/>
    </row>
    <row r="84" spans="1:7" x14ac:dyDescent="0.2">
      <c r="A84" s="3">
        <v>11</v>
      </c>
      <c r="B84" s="3" t="s">
        <v>63</v>
      </c>
      <c r="C84" s="16">
        <v>755</v>
      </c>
      <c r="D84" s="3">
        <v>13</v>
      </c>
      <c r="E84" s="3">
        <v>10</v>
      </c>
      <c r="F84" s="13">
        <f t="shared" si="7"/>
        <v>1.3</v>
      </c>
      <c r="G84" s="3"/>
    </row>
    <row r="85" spans="1:7" x14ac:dyDescent="0.2">
      <c r="A85" s="3">
        <v>11</v>
      </c>
      <c r="B85" s="3" t="s">
        <v>6</v>
      </c>
      <c r="C85" s="16">
        <v>645</v>
      </c>
      <c r="D85" s="3">
        <v>13</v>
      </c>
      <c r="E85" s="3">
        <v>14</v>
      </c>
      <c r="F85" s="13">
        <f t="shared" si="7"/>
        <v>0.9285714285714286</v>
      </c>
      <c r="G85" s="3"/>
    </row>
    <row r="86" spans="1:7" x14ac:dyDescent="0.2">
      <c r="A86" s="3">
        <v>11</v>
      </c>
      <c r="B86" s="3" t="s">
        <v>7</v>
      </c>
      <c r="C86" s="16">
        <v>335</v>
      </c>
      <c r="D86" s="3">
        <v>13</v>
      </c>
      <c r="E86" s="3">
        <v>15</v>
      </c>
      <c r="F86" s="13">
        <f t="shared" si="7"/>
        <v>0.8666666666666667</v>
      </c>
      <c r="G86" s="3"/>
    </row>
    <row r="87" spans="1:7" x14ac:dyDescent="0.2">
      <c r="A87" s="3">
        <v>11</v>
      </c>
      <c r="B87" s="3" t="s">
        <v>9</v>
      </c>
      <c r="C87" s="16">
        <v>585</v>
      </c>
      <c r="D87" s="3">
        <v>16</v>
      </c>
      <c r="E87" s="3">
        <v>11</v>
      </c>
      <c r="F87" s="13">
        <f t="shared" si="7"/>
        <v>1.4545454545454546</v>
      </c>
      <c r="G87" s="3"/>
    </row>
    <row r="88" spans="1:7" x14ac:dyDescent="0.2">
      <c r="A88" s="3">
        <v>11</v>
      </c>
      <c r="B88" s="3" t="s">
        <v>5</v>
      </c>
      <c r="C88" s="16">
        <v>275</v>
      </c>
      <c r="D88" s="3">
        <v>3</v>
      </c>
      <c r="E88" s="3">
        <v>9</v>
      </c>
      <c r="F88" s="13">
        <f t="shared" si="7"/>
        <v>0.33333333333333331</v>
      </c>
      <c r="G88" s="3"/>
    </row>
    <row r="89" spans="1:7" x14ac:dyDescent="0.2">
      <c r="A89" s="3">
        <v>11</v>
      </c>
      <c r="B89" s="3" t="s">
        <v>8</v>
      </c>
      <c r="C89" s="16">
        <v>10</v>
      </c>
      <c r="D89" s="3">
        <v>7</v>
      </c>
      <c r="E89" s="3">
        <v>17</v>
      </c>
      <c r="F89" s="13">
        <f t="shared" si="7"/>
        <v>0.41176470588235292</v>
      </c>
      <c r="G89" s="3"/>
    </row>
    <row r="90" spans="1:7" x14ac:dyDescent="0.2">
      <c r="A90" s="3">
        <v>12</v>
      </c>
      <c r="B90" s="3" t="s">
        <v>4</v>
      </c>
      <c r="C90" s="16">
        <v>875</v>
      </c>
      <c r="D90" s="3">
        <v>20</v>
      </c>
      <c r="E90" s="3">
        <v>14</v>
      </c>
      <c r="F90" s="13">
        <f t="shared" ref="F90:F96" si="9">IF(E90=0,0,(D90/E90))</f>
        <v>1.4285714285714286</v>
      </c>
      <c r="G90" s="3"/>
    </row>
    <row r="91" spans="1:7" x14ac:dyDescent="0.2">
      <c r="A91" s="3">
        <v>12</v>
      </c>
      <c r="B91" s="3" t="s">
        <v>63</v>
      </c>
      <c r="C91" s="16">
        <v>625</v>
      </c>
      <c r="D91" s="3">
        <v>12</v>
      </c>
      <c r="E91" s="3">
        <v>11</v>
      </c>
      <c r="F91" s="13">
        <f t="shared" si="9"/>
        <v>1.0909090909090908</v>
      </c>
      <c r="G91" s="3"/>
    </row>
    <row r="92" spans="1:7" x14ac:dyDescent="0.2">
      <c r="A92" s="3">
        <v>12</v>
      </c>
      <c r="B92" s="3" t="s">
        <v>6</v>
      </c>
      <c r="C92" s="16">
        <v>525</v>
      </c>
      <c r="D92" s="3">
        <v>10</v>
      </c>
      <c r="E92" s="3">
        <v>7</v>
      </c>
      <c r="F92" s="13">
        <f t="shared" si="9"/>
        <v>1.4285714285714286</v>
      </c>
      <c r="G92" s="3"/>
    </row>
    <row r="93" spans="1:7" x14ac:dyDescent="0.2">
      <c r="A93" s="3">
        <v>12</v>
      </c>
      <c r="B93" s="3" t="s">
        <v>7</v>
      </c>
      <c r="C93" s="16">
        <v>400</v>
      </c>
      <c r="D93" s="3">
        <v>14</v>
      </c>
      <c r="E93" s="3">
        <v>16</v>
      </c>
      <c r="F93" s="13">
        <f t="shared" si="9"/>
        <v>0.875</v>
      </c>
      <c r="G93" s="3"/>
    </row>
    <row r="94" spans="1:7" x14ac:dyDescent="0.2">
      <c r="A94" s="3">
        <v>12</v>
      </c>
      <c r="B94" s="3" t="s">
        <v>3</v>
      </c>
      <c r="C94" s="16">
        <v>700</v>
      </c>
      <c r="D94" s="3">
        <v>8</v>
      </c>
      <c r="E94" s="3">
        <v>8</v>
      </c>
      <c r="F94" s="13">
        <f t="shared" si="9"/>
        <v>1</v>
      </c>
      <c r="G94" s="3"/>
    </row>
    <row r="95" spans="1:7" x14ac:dyDescent="0.2">
      <c r="A95" s="3">
        <v>12</v>
      </c>
      <c r="B95" s="3" t="s">
        <v>5</v>
      </c>
      <c r="C95" s="16">
        <v>65</v>
      </c>
      <c r="D95" s="3">
        <v>9</v>
      </c>
      <c r="E95" s="3">
        <v>12</v>
      </c>
      <c r="F95" s="13">
        <f t="shared" si="9"/>
        <v>0.75</v>
      </c>
      <c r="G95" s="3"/>
    </row>
    <row r="96" spans="1:7" x14ac:dyDescent="0.2">
      <c r="A96" s="3">
        <v>12</v>
      </c>
      <c r="B96" s="3" t="s">
        <v>8</v>
      </c>
      <c r="C96" s="16">
        <v>180</v>
      </c>
      <c r="D96" s="3">
        <v>8</v>
      </c>
      <c r="E96" s="3">
        <v>12</v>
      </c>
      <c r="F96" s="13">
        <f t="shared" si="9"/>
        <v>0.66666666666666663</v>
      </c>
      <c r="G96" s="3"/>
    </row>
    <row r="97" spans="1:7" x14ac:dyDescent="0.2">
      <c r="A97" s="3">
        <v>12</v>
      </c>
      <c r="B97" s="3" t="s">
        <v>0</v>
      </c>
      <c r="C97" s="16">
        <v>660</v>
      </c>
      <c r="D97" s="3">
        <v>9</v>
      </c>
      <c r="E97" s="3">
        <v>11</v>
      </c>
      <c r="F97" s="13">
        <f t="shared" ref="F97" si="10">IF(E97=0,0,(D97/E97))</f>
        <v>0.81818181818181823</v>
      </c>
      <c r="G9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100"/>
  <sheetViews>
    <sheetView topLeftCell="A69" workbookViewId="0">
      <selection activeCell="C101" sqref="C10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100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  <row r="86" spans="1:7" x14ac:dyDescent="0.2">
      <c r="A86" s="3">
        <v>11</v>
      </c>
      <c r="B86" s="3" t="s">
        <v>4</v>
      </c>
      <c r="C86" s="16">
        <v>490</v>
      </c>
      <c r="D86" s="3">
        <v>8</v>
      </c>
      <c r="E86" s="3">
        <v>6</v>
      </c>
      <c r="F86" s="13">
        <f t="shared" si="4"/>
        <v>1.3333333333333333</v>
      </c>
      <c r="G86" s="3"/>
    </row>
    <row r="87" spans="1:7" x14ac:dyDescent="0.2">
      <c r="A87" s="3">
        <v>11</v>
      </c>
      <c r="B87" s="3" t="s">
        <v>63</v>
      </c>
      <c r="C87" s="16">
        <v>140</v>
      </c>
      <c r="D87" s="3">
        <v>4</v>
      </c>
      <c r="E87" s="3">
        <v>5</v>
      </c>
      <c r="F87" s="13">
        <f t="shared" si="4"/>
        <v>0.8</v>
      </c>
      <c r="G87" s="3"/>
    </row>
    <row r="88" spans="1:7" x14ac:dyDescent="0.2">
      <c r="A88" s="3">
        <v>11</v>
      </c>
      <c r="B88" s="3" t="s">
        <v>6</v>
      </c>
      <c r="C88" s="16">
        <v>585</v>
      </c>
      <c r="D88" s="3">
        <v>6</v>
      </c>
      <c r="E88" s="3">
        <v>6</v>
      </c>
      <c r="F88" s="13">
        <f t="shared" si="4"/>
        <v>1</v>
      </c>
      <c r="G88" s="3"/>
    </row>
    <row r="89" spans="1:7" x14ac:dyDescent="0.2">
      <c r="A89" s="3">
        <v>11</v>
      </c>
      <c r="B89" s="3" t="s">
        <v>7</v>
      </c>
      <c r="C89" s="16">
        <v>1740</v>
      </c>
      <c r="D89" s="3">
        <v>8</v>
      </c>
      <c r="E89" s="3">
        <v>0</v>
      </c>
      <c r="F89" s="13">
        <f t="shared" si="4"/>
        <v>0</v>
      </c>
      <c r="G89" s="3"/>
    </row>
    <row r="90" spans="1:7" x14ac:dyDescent="0.2">
      <c r="A90" s="3">
        <v>11</v>
      </c>
      <c r="B90" s="3" t="s">
        <v>9</v>
      </c>
      <c r="C90" s="16">
        <v>0</v>
      </c>
      <c r="D90" s="3">
        <v>3</v>
      </c>
      <c r="E90" s="3">
        <v>8</v>
      </c>
      <c r="F90" s="13">
        <f t="shared" si="4"/>
        <v>0.375</v>
      </c>
      <c r="G90" s="3"/>
    </row>
    <row r="91" spans="1:7" x14ac:dyDescent="0.2">
      <c r="A91" s="3">
        <v>11</v>
      </c>
      <c r="B91" s="3" t="s">
        <v>5</v>
      </c>
      <c r="C91" s="16">
        <v>45</v>
      </c>
      <c r="D91" s="3">
        <v>4</v>
      </c>
      <c r="E91" s="3">
        <v>5</v>
      </c>
      <c r="F91" s="13">
        <f t="shared" si="4"/>
        <v>0.8</v>
      </c>
      <c r="G91" s="3"/>
    </row>
    <row r="92" spans="1:7" x14ac:dyDescent="0.2">
      <c r="A92" s="3">
        <v>11</v>
      </c>
      <c r="B92" s="3" t="s">
        <v>8</v>
      </c>
      <c r="C92" s="16">
        <v>55</v>
      </c>
      <c r="D92" s="3">
        <v>4</v>
      </c>
      <c r="E92" s="3">
        <v>5</v>
      </c>
      <c r="F92" s="13">
        <f t="shared" si="4"/>
        <v>0.8</v>
      </c>
      <c r="G92" s="3"/>
    </row>
    <row r="93" spans="1:7" x14ac:dyDescent="0.2">
      <c r="A93" s="3">
        <v>12</v>
      </c>
      <c r="B93" s="3" t="s">
        <v>4</v>
      </c>
      <c r="C93" s="16">
        <v>1135</v>
      </c>
      <c r="D93" s="3">
        <v>8</v>
      </c>
      <c r="E93" s="3">
        <v>3</v>
      </c>
      <c r="F93" s="13">
        <f t="shared" si="4"/>
        <v>2.6666666666666665</v>
      </c>
      <c r="G93" s="3"/>
    </row>
    <row r="94" spans="1:7" x14ac:dyDescent="0.2">
      <c r="A94" s="3">
        <v>12</v>
      </c>
      <c r="B94" s="3" t="s">
        <v>63</v>
      </c>
      <c r="C94" s="16">
        <v>1020</v>
      </c>
      <c r="D94" s="3">
        <v>9</v>
      </c>
      <c r="E94" s="3">
        <v>5</v>
      </c>
      <c r="F94" s="13">
        <f t="shared" si="4"/>
        <v>1.8</v>
      </c>
      <c r="G94" s="3"/>
    </row>
    <row r="95" spans="1:7" x14ac:dyDescent="0.2">
      <c r="A95" s="3">
        <v>12</v>
      </c>
      <c r="B95" s="3" t="s">
        <v>6</v>
      </c>
      <c r="C95" s="16">
        <v>570</v>
      </c>
      <c r="D95" s="3">
        <v>9</v>
      </c>
      <c r="E95" s="3">
        <v>7</v>
      </c>
      <c r="F95" s="13">
        <f t="shared" si="4"/>
        <v>1.2857142857142858</v>
      </c>
      <c r="G95" s="3"/>
    </row>
    <row r="96" spans="1:7" x14ac:dyDescent="0.2">
      <c r="A96" s="3">
        <v>12</v>
      </c>
      <c r="B96" s="3" t="s">
        <v>7</v>
      </c>
      <c r="C96" s="16">
        <v>370</v>
      </c>
      <c r="D96" s="3">
        <v>2</v>
      </c>
      <c r="E96" s="3">
        <v>4</v>
      </c>
      <c r="F96" s="13">
        <f t="shared" si="4"/>
        <v>0.5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2</v>
      </c>
      <c r="E97" s="3">
        <v>1</v>
      </c>
      <c r="F97" s="13">
        <f t="shared" si="4"/>
        <v>2</v>
      </c>
      <c r="G97" s="3"/>
    </row>
    <row r="98" spans="1:7" x14ac:dyDescent="0.2">
      <c r="A98" s="3">
        <v>12</v>
      </c>
      <c r="B98" s="3" t="s">
        <v>5</v>
      </c>
      <c r="C98" s="16">
        <v>270</v>
      </c>
      <c r="D98" s="3">
        <v>9</v>
      </c>
      <c r="E98" s="3">
        <v>10</v>
      </c>
      <c r="F98" s="13">
        <f t="shared" si="4"/>
        <v>0.9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11</v>
      </c>
      <c r="F99" s="13">
        <f t="shared" si="4"/>
        <v>0.45454545454545453</v>
      </c>
      <c r="G99" s="3"/>
    </row>
    <row r="100" spans="1:7" x14ac:dyDescent="0.2">
      <c r="A100" s="3">
        <v>12</v>
      </c>
      <c r="B100" s="3" t="s">
        <v>0</v>
      </c>
      <c r="C100" s="16">
        <v>695</v>
      </c>
      <c r="D100" s="3">
        <v>6</v>
      </c>
      <c r="E100" s="3">
        <v>4</v>
      </c>
      <c r="F100" s="13">
        <f t="shared" si="4"/>
        <v>1.5</v>
      </c>
      <c r="G10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99"/>
  <sheetViews>
    <sheetView tabSelected="1" topLeftCell="A69" workbookViewId="0">
      <selection activeCell="E101" sqref="E10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99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  <row r="85" spans="1:7" x14ac:dyDescent="0.2">
      <c r="A85" s="3">
        <v>11</v>
      </c>
      <c r="B85" s="3" t="s">
        <v>4</v>
      </c>
      <c r="C85" s="16">
        <v>1375</v>
      </c>
      <c r="D85" s="3">
        <v>16</v>
      </c>
      <c r="E85" s="3">
        <v>8</v>
      </c>
      <c r="F85" s="13">
        <f t="shared" si="4"/>
        <v>2</v>
      </c>
      <c r="G85" s="3"/>
    </row>
    <row r="86" spans="1:7" x14ac:dyDescent="0.2">
      <c r="A86" s="3">
        <v>11</v>
      </c>
      <c r="B86" s="3" t="s">
        <v>63</v>
      </c>
      <c r="C86" s="16">
        <v>100</v>
      </c>
      <c r="D86" s="3">
        <v>5</v>
      </c>
      <c r="E86" s="3">
        <v>12</v>
      </c>
      <c r="F86" s="13">
        <f t="shared" si="4"/>
        <v>0.41666666666666669</v>
      </c>
      <c r="G86" s="3"/>
    </row>
    <row r="87" spans="1:7" x14ac:dyDescent="0.2">
      <c r="A87" s="3">
        <v>11</v>
      </c>
      <c r="B87" s="3" t="s">
        <v>6</v>
      </c>
      <c r="C87" s="16">
        <v>10</v>
      </c>
      <c r="D87" s="3">
        <v>9</v>
      </c>
      <c r="E87" s="3">
        <v>10</v>
      </c>
      <c r="F87" s="13">
        <f t="shared" si="4"/>
        <v>0.9</v>
      </c>
      <c r="G87" s="3"/>
    </row>
    <row r="88" spans="1:7" x14ac:dyDescent="0.2">
      <c r="A88" s="3">
        <v>11</v>
      </c>
      <c r="B88" s="3" t="s">
        <v>7</v>
      </c>
      <c r="C88" s="16">
        <v>635</v>
      </c>
      <c r="D88" s="3">
        <v>9</v>
      </c>
      <c r="E88" s="3">
        <v>8</v>
      </c>
      <c r="F88" s="13">
        <f t="shared" si="4"/>
        <v>1.125</v>
      </c>
      <c r="G88" s="3"/>
    </row>
    <row r="89" spans="1:7" x14ac:dyDescent="0.2">
      <c r="A89" s="3">
        <v>11</v>
      </c>
      <c r="B89" s="3" t="s">
        <v>9</v>
      </c>
      <c r="C89" s="16">
        <v>525</v>
      </c>
      <c r="D89" s="3">
        <v>10</v>
      </c>
      <c r="E89" s="3">
        <v>7</v>
      </c>
      <c r="F89" s="13">
        <f t="shared" si="4"/>
        <v>1.4285714285714286</v>
      </c>
      <c r="G89" s="3"/>
    </row>
    <row r="90" spans="1:7" x14ac:dyDescent="0.2">
      <c r="A90" s="3">
        <v>11</v>
      </c>
      <c r="B90" s="3" t="s">
        <v>5</v>
      </c>
      <c r="C90" s="16">
        <v>645</v>
      </c>
      <c r="D90" s="3">
        <v>4</v>
      </c>
      <c r="E90" s="3">
        <v>6</v>
      </c>
      <c r="F90" s="13">
        <f t="shared" si="4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260</v>
      </c>
      <c r="D91" s="3">
        <v>6</v>
      </c>
      <c r="E91" s="3">
        <v>9</v>
      </c>
      <c r="F91" s="13">
        <f t="shared" si="4"/>
        <v>0.66666666666666663</v>
      </c>
      <c r="G91" s="3"/>
    </row>
    <row r="92" spans="1:7" x14ac:dyDescent="0.2">
      <c r="A92" s="3">
        <v>12</v>
      </c>
      <c r="B92" s="3" t="s">
        <v>4</v>
      </c>
      <c r="C92" s="16">
        <v>995</v>
      </c>
      <c r="D92" s="3">
        <v>16</v>
      </c>
      <c r="E92" s="3">
        <v>7</v>
      </c>
      <c r="F92" s="13">
        <f t="shared" si="4"/>
        <v>2.2857142857142856</v>
      </c>
      <c r="G92" s="3"/>
    </row>
    <row r="93" spans="1:7" x14ac:dyDescent="0.2">
      <c r="A93" s="3">
        <v>12</v>
      </c>
      <c r="B93" s="3" t="s">
        <v>63</v>
      </c>
      <c r="C93" s="16">
        <v>810</v>
      </c>
      <c r="D93" s="3">
        <v>8</v>
      </c>
      <c r="E93" s="3">
        <v>11</v>
      </c>
      <c r="F93" s="13">
        <f t="shared" si="4"/>
        <v>0.72727272727272729</v>
      </c>
      <c r="G93" s="3"/>
    </row>
    <row r="94" spans="1:7" x14ac:dyDescent="0.2">
      <c r="A94" s="3">
        <v>12</v>
      </c>
      <c r="B94" s="3" t="s">
        <v>6</v>
      </c>
      <c r="C94" s="16">
        <v>1355</v>
      </c>
      <c r="D94" s="3">
        <v>20</v>
      </c>
      <c r="E94" s="3">
        <v>8</v>
      </c>
      <c r="F94" s="13">
        <f t="shared" si="4"/>
        <v>2.5</v>
      </c>
      <c r="G94" s="3"/>
    </row>
    <row r="95" spans="1:7" x14ac:dyDescent="0.2">
      <c r="A95" s="3">
        <v>12</v>
      </c>
      <c r="B95" s="3" t="s">
        <v>7</v>
      </c>
      <c r="C95" s="16">
        <v>855</v>
      </c>
      <c r="D95" s="3">
        <v>15</v>
      </c>
      <c r="E95" s="3">
        <v>12</v>
      </c>
      <c r="F95" s="13">
        <f t="shared" si="4"/>
        <v>1.25</v>
      </c>
      <c r="G95" s="3"/>
    </row>
    <row r="96" spans="1:7" x14ac:dyDescent="0.2">
      <c r="A96" s="3">
        <v>12</v>
      </c>
      <c r="B96" s="3" t="s">
        <v>3</v>
      </c>
      <c r="C96" s="16">
        <v>125</v>
      </c>
      <c r="D96" s="3">
        <v>5</v>
      </c>
      <c r="E96" s="3">
        <v>7</v>
      </c>
      <c r="F96" s="13">
        <f t="shared" si="4"/>
        <v>0.7142857142857143</v>
      </c>
      <c r="G96" s="3"/>
    </row>
    <row r="97" spans="1:7" x14ac:dyDescent="0.2">
      <c r="A97" s="3">
        <v>12</v>
      </c>
      <c r="B97" s="3" t="s">
        <v>5</v>
      </c>
      <c r="C97" s="16">
        <v>155</v>
      </c>
      <c r="D97" s="3">
        <v>9</v>
      </c>
      <c r="E97" s="3">
        <v>11</v>
      </c>
      <c r="F97" s="13">
        <f t="shared" si="4"/>
        <v>0.81818181818181823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4</v>
      </c>
      <c r="E98" s="3">
        <v>12</v>
      </c>
      <c r="F98" s="13">
        <f t="shared" si="4"/>
        <v>0.33333333333333331</v>
      </c>
      <c r="G98" s="3"/>
    </row>
    <row r="99" spans="1:7" x14ac:dyDescent="0.2">
      <c r="A99" s="3">
        <v>12</v>
      </c>
      <c r="B99" s="3" t="s">
        <v>0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100"/>
  <sheetViews>
    <sheetView topLeftCell="A63" workbookViewId="0">
      <selection activeCell="C101" sqref="C10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100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  <row r="86" spans="1:7" x14ac:dyDescent="0.2">
      <c r="A86" s="3">
        <v>11</v>
      </c>
      <c r="B86" s="3" t="s">
        <v>4</v>
      </c>
      <c r="C86" s="16">
        <v>1335</v>
      </c>
      <c r="D86" s="3">
        <v>17</v>
      </c>
      <c r="E86" s="3">
        <v>10</v>
      </c>
      <c r="F86" s="13">
        <f t="shared" si="4"/>
        <v>1.7</v>
      </c>
      <c r="G86" s="3"/>
    </row>
    <row r="87" spans="1:7" x14ac:dyDescent="0.2">
      <c r="A87" s="3">
        <v>11</v>
      </c>
      <c r="B87" s="3" t="s">
        <v>63</v>
      </c>
      <c r="C87" s="16">
        <v>1285</v>
      </c>
      <c r="D87" s="3">
        <v>13</v>
      </c>
      <c r="E87" s="3">
        <v>13</v>
      </c>
      <c r="F87" s="13">
        <f t="shared" si="4"/>
        <v>1</v>
      </c>
      <c r="G87" s="3"/>
    </row>
    <row r="88" spans="1:7" x14ac:dyDescent="0.2">
      <c r="A88" s="3">
        <v>11</v>
      </c>
      <c r="B88" s="3" t="s">
        <v>6</v>
      </c>
      <c r="C88" s="16">
        <v>715</v>
      </c>
      <c r="D88" s="3">
        <v>15</v>
      </c>
      <c r="E88" s="3">
        <v>17</v>
      </c>
      <c r="F88" s="13">
        <f t="shared" si="4"/>
        <v>0.88235294117647056</v>
      </c>
      <c r="G88" s="3"/>
    </row>
    <row r="89" spans="1:7" x14ac:dyDescent="0.2">
      <c r="A89" s="3">
        <v>11</v>
      </c>
      <c r="B89" s="3" t="s">
        <v>7</v>
      </c>
      <c r="C89" s="16">
        <v>425</v>
      </c>
      <c r="D89" s="3">
        <v>12</v>
      </c>
      <c r="E89" s="3">
        <v>10</v>
      </c>
      <c r="F89" s="13">
        <f t="shared" si="4"/>
        <v>1.2</v>
      </c>
      <c r="G89" s="3"/>
    </row>
    <row r="90" spans="1:7" x14ac:dyDescent="0.2">
      <c r="A90" s="3">
        <v>11</v>
      </c>
      <c r="B90" s="3" t="s">
        <v>9</v>
      </c>
      <c r="C90" s="16">
        <v>885</v>
      </c>
      <c r="D90" s="3">
        <v>14</v>
      </c>
      <c r="E90" s="3">
        <v>8</v>
      </c>
      <c r="F90" s="13">
        <f t="shared" si="4"/>
        <v>1.75</v>
      </c>
      <c r="G90" s="3"/>
    </row>
    <row r="91" spans="1:7" x14ac:dyDescent="0.2">
      <c r="A91" s="3">
        <v>11</v>
      </c>
      <c r="B91" s="3" t="s">
        <v>5</v>
      </c>
      <c r="C91" s="16">
        <v>0</v>
      </c>
      <c r="D91" s="3">
        <v>4</v>
      </c>
      <c r="E91" s="3">
        <v>12</v>
      </c>
      <c r="F91" s="13">
        <f t="shared" si="4"/>
        <v>0.33333333333333331</v>
      </c>
      <c r="G91" s="3"/>
    </row>
    <row r="92" spans="1:7" x14ac:dyDescent="0.2">
      <c r="A92" s="3">
        <v>11</v>
      </c>
      <c r="B92" s="3" t="s">
        <v>8</v>
      </c>
      <c r="C92" s="16">
        <v>375</v>
      </c>
      <c r="D92" s="3">
        <v>6</v>
      </c>
      <c r="E92" s="3">
        <v>11</v>
      </c>
      <c r="F92" s="13">
        <f t="shared" si="4"/>
        <v>0.54545454545454541</v>
      </c>
      <c r="G92" s="3"/>
    </row>
    <row r="93" spans="1:7" x14ac:dyDescent="0.2">
      <c r="A93" s="3">
        <v>12</v>
      </c>
      <c r="B93" s="3" t="s">
        <v>4</v>
      </c>
      <c r="C93" s="16">
        <v>1495</v>
      </c>
      <c r="D93" s="3">
        <v>18</v>
      </c>
      <c r="E93" s="3">
        <v>9</v>
      </c>
      <c r="F93" s="13">
        <f t="shared" si="4"/>
        <v>2</v>
      </c>
      <c r="G93" s="3"/>
    </row>
    <row r="94" spans="1:7" x14ac:dyDescent="0.2">
      <c r="A94" s="3">
        <v>12</v>
      </c>
      <c r="B94" s="3" t="s">
        <v>63</v>
      </c>
      <c r="C94" s="16">
        <v>1365</v>
      </c>
      <c r="D94" s="3">
        <v>13</v>
      </c>
      <c r="E94" s="3">
        <v>8</v>
      </c>
      <c r="F94" s="13">
        <f t="shared" si="4"/>
        <v>1.625</v>
      </c>
      <c r="G94" s="3"/>
    </row>
    <row r="95" spans="1:7" x14ac:dyDescent="0.2">
      <c r="A95" s="3">
        <v>12</v>
      </c>
      <c r="B95" s="3" t="s">
        <v>6</v>
      </c>
      <c r="C95" s="16">
        <v>1080</v>
      </c>
      <c r="D95" s="3">
        <v>13</v>
      </c>
      <c r="E95" s="3">
        <v>5</v>
      </c>
      <c r="F95" s="13">
        <f t="shared" si="4"/>
        <v>2.6</v>
      </c>
      <c r="G95" s="3"/>
    </row>
    <row r="96" spans="1:7" x14ac:dyDescent="0.2">
      <c r="A96" s="3">
        <v>12</v>
      </c>
      <c r="B96" s="3" t="s">
        <v>7</v>
      </c>
      <c r="C96" s="16">
        <v>180</v>
      </c>
      <c r="D96" s="3">
        <v>8</v>
      </c>
      <c r="E96" s="3">
        <v>14</v>
      </c>
      <c r="F96" s="13">
        <f t="shared" si="4"/>
        <v>0.5714285714285714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1</v>
      </c>
      <c r="E97" s="3">
        <v>9</v>
      </c>
      <c r="F97" s="13">
        <f t="shared" si="4"/>
        <v>0.1111111111111111</v>
      </c>
      <c r="G97" s="3"/>
    </row>
    <row r="98" spans="1:7" x14ac:dyDescent="0.2">
      <c r="A98" s="3">
        <v>12</v>
      </c>
      <c r="B98" s="3" t="s">
        <v>5</v>
      </c>
      <c r="C98" s="16">
        <v>1200</v>
      </c>
      <c r="D98" s="3">
        <v>11</v>
      </c>
      <c r="E98" s="3">
        <v>7</v>
      </c>
      <c r="F98" s="13">
        <f t="shared" si="4"/>
        <v>1.5714285714285714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12</v>
      </c>
      <c r="B100" s="3" t="s">
        <v>0</v>
      </c>
      <c r="C100" s="16">
        <v>395</v>
      </c>
      <c r="D100" s="3">
        <v>7</v>
      </c>
      <c r="E100" s="3">
        <v>10</v>
      </c>
      <c r="F100" s="13">
        <f t="shared" si="4"/>
        <v>0.7</v>
      </c>
      <c r="G10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99"/>
  <sheetViews>
    <sheetView topLeftCell="A71" workbookViewId="0">
      <selection activeCell="A100" sqref="A100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99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  <row r="85" spans="1:7" x14ac:dyDescent="0.2">
      <c r="A85" s="3">
        <v>11</v>
      </c>
      <c r="B85" s="3" t="s">
        <v>4</v>
      </c>
      <c r="C85" s="16">
        <v>615</v>
      </c>
      <c r="D85" s="3">
        <v>23</v>
      </c>
      <c r="E85" s="3">
        <v>16</v>
      </c>
      <c r="F85" s="13">
        <f t="shared" si="3"/>
        <v>1.4375</v>
      </c>
      <c r="G85" s="3"/>
    </row>
    <row r="86" spans="1:7" x14ac:dyDescent="0.2">
      <c r="A86" s="3">
        <v>11</v>
      </c>
      <c r="B86" s="3" t="s">
        <v>63</v>
      </c>
      <c r="C86" s="16">
        <v>1740</v>
      </c>
      <c r="D86" s="3">
        <v>17</v>
      </c>
      <c r="E86" s="3">
        <v>10</v>
      </c>
      <c r="F86" s="13">
        <f t="shared" si="3"/>
        <v>1.7</v>
      </c>
      <c r="G86" s="3"/>
    </row>
    <row r="87" spans="1:7" x14ac:dyDescent="0.2">
      <c r="A87" s="3">
        <v>11</v>
      </c>
      <c r="B87" s="3" t="s">
        <v>6</v>
      </c>
      <c r="C87" s="16">
        <v>0</v>
      </c>
      <c r="D87" s="3">
        <v>9</v>
      </c>
      <c r="E87" s="3">
        <v>22</v>
      </c>
      <c r="F87" s="13">
        <f t="shared" si="3"/>
        <v>0.40909090909090912</v>
      </c>
      <c r="G87" s="3"/>
    </row>
    <row r="88" spans="1:7" x14ac:dyDescent="0.2">
      <c r="A88" s="3">
        <v>11</v>
      </c>
      <c r="B88" s="3" t="s">
        <v>7</v>
      </c>
      <c r="C88" s="16">
        <v>955</v>
      </c>
      <c r="D88" s="3">
        <v>14</v>
      </c>
      <c r="E88" s="3">
        <v>7</v>
      </c>
      <c r="F88" s="13">
        <f t="shared" si="3"/>
        <v>2</v>
      </c>
      <c r="G88" s="3"/>
    </row>
    <row r="89" spans="1:7" x14ac:dyDescent="0.2">
      <c r="A89" s="3">
        <v>11</v>
      </c>
      <c r="B89" s="3" t="s">
        <v>9</v>
      </c>
      <c r="C89" s="16">
        <v>0</v>
      </c>
      <c r="D89" s="3">
        <v>6</v>
      </c>
      <c r="E89" s="3">
        <v>12</v>
      </c>
      <c r="F89" s="13">
        <f t="shared" si="3"/>
        <v>0.5</v>
      </c>
      <c r="G89" s="3"/>
    </row>
    <row r="90" spans="1:7" x14ac:dyDescent="0.2">
      <c r="A90" s="3">
        <v>11</v>
      </c>
      <c r="B90" s="3" t="s">
        <v>5</v>
      </c>
      <c r="C90" s="16">
        <v>375</v>
      </c>
      <c r="D90" s="3">
        <v>4</v>
      </c>
      <c r="E90" s="3">
        <v>6</v>
      </c>
      <c r="F90" s="13">
        <f t="shared" si="3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215</v>
      </c>
      <c r="D91" s="3">
        <v>15</v>
      </c>
      <c r="E91" s="3">
        <v>16</v>
      </c>
      <c r="F91" s="13">
        <f t="shared" si="3"/>
        <v>0.9375</v>
      </c>
      <c r="G91" s="3"/>
    </row>
    <row r="92" spans="1:7" x14ac:dyDescent="0.2">
      <c r="A92" s="3">
        <v>12</v>
      </c>
      <c r="B92" s="3" t="s">
        <v>4</v>
      </c>
      <c r="C92" s="16">
        <v>1525</v>
      </c>
      <c r="D92" s="3">
        <v>21</v>
      </c>
      <c r="E92" s="3">
        <v>8</v>
      </c>
      <c r="F92" s="13">
        <f t="shared" si="3"/>
        <v>2.625</v>
      </c>
      <c r="G92" s="3"/>
    </row>
    <row r="93" spans="1:7" x14ac:dyDescent="0.2">
      <c r="A93" s="3">
        <v>12</v>
      </c>
      <c r="B93" s="3" t="s">
        <v>63</v>
      </c>
      <c r="C93" s="16">
        <v>425</v>
      </c>
      <c r="D93" s="3">
        <v>11</v>
      </c>
      <c r="E93" s="3">
        <v>2</v>
      </c>
      <c r="F93" s="13">
        <f t="shared" si="3"/>
        <v>5.5</v>
      </c>
      <c r="G93" s="3"/>
    </row>
    <row r="94" spans="1:7" x14ac:dyDescent="0.2">
      <c r="A94" s="3">
        <v>12</v>
      </c>
      <c r="B94" s="3" t="s">
        <v>6</v>
      </c>
      <c r="C94" s="16">
        <v>1345</v>
      </c>
      <c r="D94" s="3">
        <v>14</v>
      </c>
      <c r="E94" s="3">
        <v>4</v>
      </c>
      <c r="F94" s="13">
        <f t="shared" si="3"/>
        <v>3.5</v>
      </c>
      <c r="G94" s="3"/>
    </row>
    <row r="95" spans="1:7" x14ac:dyDescent="0.2">
      <c r="A95" s="3">
        <v>12</v>
      </c>
      <c r="B95" s="3" t="s">
        <v>7</v>
      </c>
      <c r="C95" s="16">
        <v>415</v>
      </c>
      <c r="D95" s="3">
        <v>6</v>
      </c>
      <c r="E95" s="3">
        <v>3</v>
      </c>
      <c r="F95" s="13">
        <f t="shared" si="3"/>
        <v>2</v>
      </c>
      <c r="G95" s="3"/>
    </row>
    <row r="96" spans="1:7" x14ac:dyDescent="0.2">
      <c r="A96" s="3">
        <v>12</v>
      </c>
      <c r="B96" s="3" t="s">
        <v>3</v>
      </c>
      <c r="C96" s="16">
        <v>0</v>
      </c>
      <c r="D96" s="3">
        <v>4</v>
      </c>
      <c r="E96" s="3">
        <v>9</v>
      </c>
      <c r="F96" s="13">
        <f t="shared" si="3"/>
        <v>0.44444444444444442</v>
      </c>
      <c r="G96" s="3"/>
    </row>
    <row r="97" spans="1:7" x14ac:dyDescent="0.2">
      <c r="A97" s="3">
        <v>12</v>
      </c>
      <c r="B97" s="3" t="s">
        <v>5</v>
      </c>
      <c r="C97" s="16">
        <v>0</v>
      </c>
      <c r="D97" s="3">
        <v>6</v>
      </c>
      <c r="E97" s="3">
        <v>10</v>
      </c>
      <c r="F97" s="13">
        <f t="shared" si="3"/>
        <v>0.6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5</v>
      </c>
      <c r="E98" s="3">
        <v>21</v>
      </c>
      <c r="F98" s="13">
        <f t="shared" si="3"/>
        <v>0.23809523809523808</v>
      </c>
      <c r="G98" s="3"/>
    </row>
    <row r="99" spans="1:7" x14ac:dyDescent="0.2">
      <c r="A99" s="3">
        <v>12</v>
      </c>
      <c r="B99" s="3" t="s">
        <v>0</v>
      </c>
      <c r="C99" s="16">
        <v>350</v>
      </c>
      <c r="D99" s="3">
        <v>8</v>
      </c>
      <c r="E99" s="3">
        <v>9</v>
      </c>
      <c r="F99" s="13">
        <f t="shared" si="3"/>
        <v>0.88888888888888884</v>
      </c>
      <c r="G9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99"/>
  <sheetViews>
    <sheetView topLeftCell="A63" workbookViewId="0">
      <selection activeCell="D101" sqref="D10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  <row r="84" spans="1:7" x14ac:dyDescent="0.2">
      <c r="A84" s="3">
        <v>10</v>
      </c>
      <c r="B84" s="3" t="s">
        <v>8</v>
      </c>
      <c r="C84" s="16">
        <v>105</v>
      </c>
      <c r="D84" s="3">
        <v>2</v>
      </c>
      <c r="E84" s="3">
        <v>12</v>
      </c>
      <c r="F84" s="13">
        <f t="shared" ref="F84" si="6">IF(E84=0,0,(D84/E84))</f>
        <v>0.16666666666666666</v>
      </c>
      <c r="G84" s="3"/>
    </row>
    <row r="85" spans="1:7" x14ac:dyDescent="0.2">
      <c r="A85" s="3">
        <v>11</v>
      </c>
      <c r="B85" s="3" t="s">
        <v>4</v>
      </c>
      <c r="C85" s="16">
        <v>1130</v>
      </c>
      <c r="D85" s="3">
        <v>18</v>
      </c>
      <c r="E85" s="3">
        <v>15</v>
      </c>
      <c r="F85" s="13">
        <f t="shared" ref="F85" si="7">IF(E85=0,0,(D85/E85))</f>
        <v>1.2</v>
      </c>
      <c r="G85" s="3"/>
    </row>
    <row r="86" spans="1:7" x14ac:dyDescent="0.2">
      <c r="A86" s="3">
        <v>11</v>
      </c>
      <c r="B86" s="3" t="s">
        <v>63</v>
      </c>
      <c r="C86" s="16">
        <v>1145</v>
      </c>
      <c r="D86" s="3">
        <v>13</v>
      </c>
      <c r="E86" s="3">
        <v>8</v>
      </c>
      <c r="F86" s="13">
        <f t="shared" ref="F86:F99" si="8">IF(E86=0,0,(D86/E86))</f>
        <v>1.625</v>
      </c>
      <c r="G86" s="3"/>
    </row>
    <row r="87" spans="1:7" x14ac:dyDescent="0.2">
      <c r="A87" s="3">
        <v>11</v>
      </c>
      <c r="B87" s="3" t="s">
        <v>6</v>
      </c>
      <c r="C87" s="16">
        <v>240</v>
      </c>
      <c r="D87" s="3">
        <v>14</v>
      </c>
      <c r="E87" s="3">
        <v>16</v>
      </c>
      <c r="F87" s="13">
        <f t="shared" si="8"/>
        <v>0.875</v>
      </c>
      <c r="G87" s="3"/>
    </row>
    <row r="88" spans="1:7" x14ac:dyDescent="0.2">
      <c r="A88" s="3">
        <v>11</v>
      </c>
      <c r="B88" s="3" t="s">
        <v>7</v>
      </c>
      <c r="C88" s="16">
        <v>1040</v>
      </c>
      <c r="D88" s="3">
        <v>20</v>
      </c>
      <c r="E88" s="3">
        <v>12</v>
      </c>
      <c r="F88" s="13">
        <f t="shared" si="8"/>
        <v>1.6666666666666667</v>
      </c>
      <c r="G88" s="3"/>
    </row>
    <row r="89" spans="1:7" x14ac:dyDescent="0.2">
      <c r="A89" s="3">
        <v>11</v>
      </c>
      <c r="B89" s="3" t="s">
        <v>9</v>
      </c>
      <c r="C89" s="16">
        <v>150</v>
      </c>
      <c r="D89" s="3">
        <v>7</v>
      </c>
      <c r="E89" s="3">
        <v>16</v>
      </c>
      <c r="F89" s="13">
        <f t="shared" si="8"/>
        <v>0.4375</v>
      </c>
      <c r="G89" s="3"/>
    </row>
    <row r="90" spans="1:7" x14ac:dyDescent="0.2">
      <c r="A90" s="3">
        <v>11</v>
      </c>
      <c r="B90" s="3" t="s">
        <v>5</v>
      </c>
      <c r="C90" s="16">
        <v>795</v>
      </c>
      <c r="D90" s="3">
        <v>7</v>
      </c>
      <c r="E90" s="3">
        <v>9</v>
      </c>
      <c r="F90" s="13">
        <f t="shared" si="8"/>
        <v>0.77777777777777779</v>
      </c>
      <c r="G90" s="3"/>
    </row>
    <row r="91" spans="1:7" x14ac:dyDescent="0.2">
      <c r="A91" s="3">
        <v>11</v>
      </c>
      <c r="B91" s="3" t="s">
        <v>8</v>
      </c>
      <c r="C91" s="16">
        <v>545</v>
      </c>
      <c r="D91" s="3">
        <v>5</v>
      </c>
      <c r="E91" s="3">
        <v>10</v>
      </c>
      <c r="F91" s="13">
        <f t="shared" si="8"/>
        <v>0.5</v>
      </c>
      <c r="G91" s="3"/>
    </row>
    <row r="92" spans="1:7" x14ac:dyDescent="0.2">
      <c r="A92" s="3">
        <v>12</v>
      </c>
      <c r="B92" s="3" t="s">
        <v>4</v>
      </c>
      <c r="C92" s="16">
        <v>460</v>
      </c>
      <c r="D92" s="3">
        <v>13</v>
      </c>
      <c r="E92" s="3">
        <v>11</v>
      </c>
      <c r="F92" s="13">
        <f t="shared" si="8"/>
        <v>1.1818181818181819</v>
      </c>
      <c r="G92" s="3"/>
    </row>
    <row r="93" spans="1:7" x14ac:dyDescent="0.2">
      <c r="A93" s="3">
        <v>12</v>
      </c>
      <c r="B93" s="3" t="s">
        <v>63</v>
      </c>
      <c r="C93" s="16">
        <v>110</v>
      </c>
      <c r="D93" s="3">
        <v>3</v>
      </c>
      <c r="E93" s="3">
        <v>14</v>
      </c>
      <c r="F93" s="13">
        <f t="shared" si="8"/>
        <v>0.21428571428571427</v>
      </c>
      <c r="G93" s="3"/>
    </row>
    <row r="94" spans="1:7" x14ac:dyDescent="0.2">
      <c r="A94" s="3">
        <v>12</v>
      </c>
      <c r="B94" s="3" t="s">
        <v>6</v>
      </c>
      <c r="C94" s="16">
        <v>980</v>
      </c>
      <c r="D94" s="3">
        <v>14</v>
      </c>
      <c r="E94" s="3">
        <v>14</v>
      </c>
      <c r="F94" s="13">
        <f t="shared" si="8"/>
        <v>1</v>
      </c>
      <c r="G94" s="3"/>
    </row>
    <row r="95" spans="1:7" x14ac:dyDescent="0.2">
      <c r="A95" s="3">
        <v>12</v>
      </c>
      <c r="B95" s="3" t="s">
        <v>7</v>
      </c>
      <c r="C95" s="16">
        <v>3165</v>
      </c>
      <c r="D95" s="3">
        <v>23</v>
      </c>
      <c r="E95" s="3">
        <v>4</v>
      </c>
      <c r="F95" s="13">
        <f t="shared" si="8"/>
        <v>5.75</v>
      </c>
      <c r="G95" s="3"/>
    </row>
    <row r="96" spans="1:7" x14ac:dyDescent="0.2">
      <c r="A96" s="3">
        <v>12</v>
      </c>
      <c r="B96" s="3" t="s">
        <v>3</v>
      </c>
      <c r="C96" s="16">
        <v>155</v>
      </c>
      <c r="D96" s="3">
        <v>1</v>
      </c>
      <c r="E96" s="3">
        <v>9</v>
      </c>
      <c r="F96" s="13">
        <f t="shared" si="8"/>
        <v>0.1111111111111111</v>
      </c>
      <c r="G96" s="3"/>
    </row>
    <row r="97" spans="1:7" x14ac:dyDescent="0.2">
      <c r="A97" s="3">
        <v>12</v>
      </c>
      <c r="B97" s="3" t="s">
        <v>5</v>
      </c>
      <c r="C97" s="16">
        <v>690</v>
      </c>
      <c r="D97" s="3">
        <v>6</v>
      </c>
      <c r="E97" s="3">
        <v>7</v>
      </c>
      <c r="F97" s="13">
        <f t="shared" si="8"/>
        <v>0.8571428571428571</v>
      </c>
      <c r="G97" s="3"/>
    </row>
    <row r="98" spans="1:7" x14ac:dyDescent="0.2">
      <c r="A98" s="3">
        <v>12</v>
      </c>
      <c r="B98" s="3" t="s">
        <v>8</v>
      </c>
      <c r="C98" s="16">
        <v>975</v>
      </c>
      <c r="D98" s="3">
        <v>9</v>
      </c>
      <c r="E98" s="3">
        <v>8</v>
      </c>
      <c r="F98" s="13">
        <f t="shared" si="8"/>
        <v>1.125</v>
      </c>
      <c r="G98" s="3"/>
    </row>
    <row r="99" spans="1:7" x14ac:dyDescent="0.2">
      <c r="A99" s="3">
        <v>12</v>
      </c>
      <c r="B99" s="3" t="s">
        <v>0</v>
      </c>
      <c r="C99" s="16">
        <v>620</v>
      </c>
      <c r="D99" s="3">
        <v>9</v>
      </c>
      <c r="E99" s="3">
        <v>7</v>
      </c>
      <c r="F99" s="13">
        <f t="shared" si="8"/>
        <v>1.2857142857142858</v>
      </c>
      <c r="G9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2" t="s">
        <v>32</v>
      </c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8" x14ac:dyDescent="0.2">
      <c r="B2" s="26" t="s">
        <v>47</v>
      </c>
      <c r="C2" s="27"/>
      <c r="D2" s="63" t="s">
        <v>46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8" x14ac:dyDescent="0.2">
      <c r="B3" s="64" t="s">
        <v>34</v>
      </c>
      <c r="C3" s="64" t="s">
        <v>26</v>
      </c>
      <c r="D3" s="66" t="s">
        <v>16</v>
      </c>
      <c r="E3" s="67"/>
      <c r="F3" s="67"/>
      <c r="G3" s="68"/>
      <c r="H3" s="66" t="s">
        <v>11</v>
      </c>
      <c r="I3" s="67"/>
      <c r="J3" s="67"/>
      <c r="K3" s="68"/>
      <c r="L3" s="66" t="s">
        <v>13</v>
      </c>
      <c r="M3" s="67"/>
      <c r="N3" s="67"/>
      <c r="O3" s="68"/>
      <c r="P3" s="66" t="s">
        <v>12</v>
      </c>
      <c r="Q3" s="67"/>
      <c r="R3" s="67"/>
      <c r="S3" s="68"/>
      <c r="T3" s="66" t="s">
        <v>15</v>
      </c>
      <c r="U3" s="67"/>
      <c r="V3" s="67"/>
      <c r="W3" s="68"/>
      <c r="X3" s="66" t="s">
        <v>27</v>
      </c>
      <c r="Y3" s="67"/>
      <c r="Z3" s="67"/>
      <c r="AA3" s="68"/>
      <c r="AB3" s="69" t="s">
        <v>14</v>
      </c>
      <c r="AC3" s="28"/>
      <c r="AD3" s="64" t="s">
        <v>28</v>
      </c>
      <c r="AE3" s="64" t="s">
        <v>31</v>
      </c>
    </row>
    <row r="4" spans="2:38" x14ac:dyDescent="0.2">
      <c r="B4" s="65"/>
      <c r="C4" s="65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0"/>
      <c r="AC4" s="31"/>
      <c r="AD4" s="65"/>
      <c r="AE4" s="65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71" t="e">
        <f>IF($AB5=0,"-",INDEX($C$5:$C$15,MATCH(MAX(D5:D15),D5:D15,0)))</f>
        <v>#REF!</v>
      </c>
      <c r="E17" s="71"/>
      <c r="F17" s="71"/>
      <c r="G17" s="71"/>
      <c r="H17" s="71" t="e">
        <f>IF($AB5=0,"-",INDEX($C$5:$C$15,MATCH(MAX(H5:H15),H5:H15,0)))</f>
        <v>#REF!</v>
      </c>
      <c r="I17" s="71"/>
      <c r="J17" s="71"/>
      <c r="K17" s="71"/>
      <c r="L17" s="71" t="e">
        <f>IF($AB5=0,"-",INDEX($C$5:$C$15,MATCH(MAX(L5:L15),L5:L15,0)))</f>
        <v>#REF!</v>
      </c>
      <c r="M17" s="71"/>
      <c r="N17" s="71"/>
      <c r="O17" s="71"/>
      <c r="P17" s="71" t="e">
        <f>IF($AB5=0,"-",INDEX($C$5:$C$15,MATCH(MAX(P5:P15),P5:P15,0)))</f>
        <v>#REF!</v>
      </c>
      <c r="Q17" s="71"/>
      <c r="R17" s="71"/>
      <c r="S17" s="71"/>
      <c r="T17" s="71" t="e">
        <f>IF($AB5=0,"-",INDEX($C$5:$C$15,MATCH(MAX(T5:T15),T5:T15,0)))</f>
        <v>#REF!</v>
      </c>
      <c r="U17" s="71"/>
      <c r="V17" s="71"/>
      <c r="W17" s="71"/>
      <c r="X17" s="71" t="e">
        <f>IF($AB5=0,"-",INDEX($C$5:$C$15,MATCH(MAX(X5:X15),X5:X15,0)))</f>
        <v>#REF!</v>
      </c>
      <c r="Y17" s="71"/>
      <c r="Z17" s="71"/>
      <c r="AA17" s="71"/>
    </row>
    <row r="20" spans="2:27" x14ac:dyDescent="0.2">
      <c r="B20" s="72" t="s">
        <v>33</v>
      </c>
      <c r="C20" s="72" t="s">
        <v>26</v>
      </c>
      <c r="D20" s="74" t="s">
        <v>54</v>
      </c>
      <c r="E20" s="72" t="s">
        <v>36</v>
      </c>
      <c r="F20" s="72" t="s">
        <v>52</v>
      </c>
      <c r="G20" s="72" t="s">
        <v>51</v>
      </c>
      <c r="H20" s="73" t="s">
        <v>55</v>
      </c>
      <c r="J20" s="24" t="s">
        <v>62</v>
      </c>
    </row>
    <row r="21" spans="2:27" x14ac:dyDescent="0.2">
      <c r="B21" s="72"/>
      <c r="C21" s="72"/>
      <c r="D21" s="75"/>
      <c r="E21" s="72"/>
      <c r="F21" s="72"/>
      <c r="G21" s="72"/>
      <c r="H21" s="73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76" t="s">
        <v>32</v>
      </c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</row>
    <row r="2" spans="2:37" x14ac:dyDescent="0.2">
      <c r="C2" s="4"/>
      <c r="D2" s="1"/>
      <c r="E2" s="77" t="s">
        <v>49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</row>
    <row r="3" spans="2:37" x14ac:dyDescent="0.2">
      <c r="B3" s="87" t="s">
        <v>48</v>
      </c>
      <c r="C3" s="78" t="s">
        <v>34</v>
      </c>
      <c r="D3" s="78" t="s">
        <v>26</v>
      </c>
      <c r="E3" s="80" t="s">
        <v>16</v>
      </c>
      <c r="F3" s="81"/>
      <c r="G3" s="81"/>
      <c r="H3" s="82"/>
      <c r="I3" s="80" t="s">
        <v>11</v>
      </c>
      <c r="J3" s="81"/>
      <c r="K3" s="81"/>
      <c r="L3" s="82"/>
      <c r="M3" s="80" t="s">
        <v>13</v>
      </c>
      <c r="N3" s="81"/>
      <c r="O3" s="81"/>
      <c r="P3" s="82"/>
      <c r="Q3" s="80" t="s">
        <v>12</v>
      </c>
      <c r="R3" s="81"/>
      <c r="S3" s="81"/>
      <c r="T3" s="82"/>
      <c r="U3" s="80" t="s">
        <v>15</v>
      </c>
      <c r="V3" s="81"/>
      <c r="W3" s="81"/>
      <c r="X3" s="82"/>
      <c r="Y3" s="80" t="s">
        <v>27</v>
      </c>
      <c r="Z3" s="81"/>
      <c r="AA3" s="81"/>
      <c r="AB3" s="82"/>
      <c r="AC3" s="78" t="s">
        <v>14</v>
      </c>
      <c r="AD3" s="8"/>
      <c r="AE3" s="78" t="s">
        <v>28</v>
      </c>
      <c r="AF3" s="78" t="s">
        <v>31</v>
      </c>
      <c r="AH3" s="83" t="s">
        <v>53</v>
      </c>
      <c r="AI3" s="83"/>
      <c r="AJ3" s="83"/>
      <c r="AK3" s="83"/>
    </row>
    <row r="4" spans="2:37" x14ac:dyDescent="0.2">
      <c r="B4" s="87"/>
      <c r="C4" s="79"/>
      <c r="D4" s="79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9"/>
      <c r="AD4" s="9"/>
      <c r="AE4" s="79"/>
      <c r="AF4" s="79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84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5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5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5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5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5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5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5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5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5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6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84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5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5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5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5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5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5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5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5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5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6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84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5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5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5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5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5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5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5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5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5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6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AH3:AK3"/>
    <mergeCell ref="AC3:AC4"/>
    <mergeCell ref="AE3:AE4"/>
    <mergeCell ref="AF3:AF4"/>
    <mergeCell ref="B29:B39"/>
    <mergeCell ref="B3:B4"/>
    <mergeCell ref="B5:B15"/>
    <mergeCell ref="B17:B27"/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2025-10-20T14:03:20Z</dcterms:modified>
</cp:coreProperties>
</file>